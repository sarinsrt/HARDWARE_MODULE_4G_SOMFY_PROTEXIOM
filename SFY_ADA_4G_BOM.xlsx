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omain.saint-paul\Desktop\PERSO\SOMFY_PROTEXIOM\SOMFY_ADA\Livrables\BOM\"/>
    </mc:Choice>
  </mc:AlternateContent>
  <xr:revisionPtr revIDLastSave="0" documentId="13_ncr:1_{8A79642D-A7D5-403F-84D6-A97CECA70841}" xr6:coauthVersionLast="47" xr6:coauthVersionMax="47" xr10:uidLastSave="{00000000-0000-0000-0000-000000000000}"/>
  <bookViews>
    <workbookView xWindow="-103" yWindow="-103" windowWidth="24892" windowHeight="14914" tabRatio="337" xr2:uid="{00000000-000D-0000-FFFF-FFFF00000000}"/>
  </bookViews>
  <sheets>
    <sheet name="BOM" sheetId="2" r:id="rId1"/>
  </sheets>
  <definedNames>
    <definedName name="Excel_BuiltIn_Print_Area_1">BOM!$B$3:$H$3</definedName>
    <definedName name="Excel_BuiltIn_Print_Area_1_1">BOM!$B$3:$H$3</definedName>
    <definedName name="Excel_BuiltIn_Print_Area_1_1_1">BOM!#REF!</definedName>
    <definedName name="Excel_BuiltIn_Print_Area_1_1_1_1">BOM!#REF!</definedName>
    <definedName name="Excel_BuiltIn_Print_Area_1_1_1_1_1">BOM!#REF!</definedName>
    <definedName name="Excel_BuiltIn_Print_Area_1_1_1_1_1_1">BOM!#REF!</definedName>
    <definedName name="Excel_BuiltIn_Print_Area_1_1_1_1_1_1_1">BOM!#REF!</definedName>
    <definedName name="ProductName">#REF!</definedName>
    <definedName name="TEST">#REF!</definedName>
    <definedName name="Version">#REF!</definedName>
    <definedName name="_xlnm.Print_Area" localSheetId="0">BOM!$A$1:$H$4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</calcChain>
</file>

<file path=xl/sharedStrings.xml><?xml version="1.0" encoding="utf-8"?>
<sst xmlns="http://schemas.openxmlformats.org/spreadsheetml/2006/main" count="216" uniqueCount="149">
  <si>
    <t>Qty</t>
  </si>
  <si>
    <t>Designator</t>
  </si>
  <si>
    <t>Value</t>
  </si>
  <si>
    <t>Reference</t>
  </si>
  <si>
    <t>Manufacturer</t>
  </si>
  <si>
    <t>Board</t>
  </si>
  <si>
    <t>Description</t>
  </si>
  <si>
    <t>Total Quantity</t>
  </si>
  <si>
    <t>SFY_ADA_4G</t>
  </si>
  <si>
    <t>C1, C11, C12</t>
  </si>
  <si>
    <t>C2, C16, C42</t>
  </si>
  <si>
    <t>C3, C4, C5, C7, C18, C26, C43, C44, C45</t>
  </si>
  <si>
    <t>C8, C9, C14, C15, C17, C19, C20, C21, C25, C28, C34, C36, C38</t>
  </si>
  <si>
    <t>C10, C13</t>
  </si>
  <si>
    <t>C24, C27, C33, C37</t>
  </si>
  <si>
    <t>C29, C35, C39</t>
  </si>
  <si>
    <t>D1, D3, D6, D7, D8</t>
  </si>
  <si>
    <t>D2</t>
  </si>
  <si>
    <t>D4, D5</t>
  </si>
  <si>
    <t>FB1, FB2</t>
  </si>
  <si>
    <t>FB3</t>
  </si>
  <si>
    <t>J1</t>
  </si>
  <si>
    <t>J2</t>
  </si>
  <si>
    <t>J3</t>
  </si>
  <si>
    <t>J5</t>
  </si>
  <si>
    <t>J6</t>
  </si>
  <si>
    <t>P1, P2</t>
  </si>
  <si>
    <t>Q1</t>
  </si>
  <si>
    <t>Q2, Q3, Q4, Q5, Q6, Q7, Q8</t>
  </si>
  <si>
    <t>R1, R14, R17, R23, R24, R25, R29, R32, R39, R44, R48, R54, R58, R59, R60</t>
  </si>
  <si>
    <t>R2, R27, R31, R56, R57</t>
  </si>
  <si>
    <t>R3, R11, R18, R26, R30, R41, R46, R47, R49, R50, R51, R52, R53, R55</t>
  </si>
  <si>
    <t>R4</t>
  </si>
  <si>
    <t>R5, R9, R42, R61</t>
  </si>
  <si>
    <t>R6</t>
  </si>
  <si>
    <t>R7, R8, R12, R13, R16, R22, R37, R43, R45</t>
  </si>
  <si>
    <t>R10</t>
  </si>
  <si>
    <t>R15, R21, R28</t>
  </si>
  <si>
    <t>R19, R20</t>
  </si>
  <si>
    <t>R33</t>
  </si>
  <si>
    <t>R34</t>
  </si>
  <si>
    <t>R38</t>
  </si>
  <si>
    <t>R40</t>
  </si>
  <si>
    <t>U1</t>
  </si>
  <si>
    <t>U2</t>
  </si>
  <si>
    <t>U3</t>
  </si>
  <si>
    <t>U4</t>
  </si>
  <si>
    <t>U5</t>
  </si>
  <si>
    <t>U6</t>
  </si>
  <si>
    <t>U7, U8, U9</t>
  </si>
  <si>
    <t>Name</t>
  </si>
  <si>
    <t>TPSC107K010S0075</t>
  </si>
  <si>
    <t>1uF</t>
  </si>
  <si>
    <t>100nF</t>
  </si>
  <si>
    <t>33pF</t>
  </si>
  <si>
    <t>10pF</t>
  </si>
  <si>
    <t>NC</t>
  </si>
  <si>
    <t>120nF</t>
  </si>
  <si>
    <t>XBP1013-G</t>
  </si>
  <si>
    <t>PMEG2010ER</t>
  </si>
  <si>
    <t>Green, 3.2V, 140°</t>
  </si>
  <si>
    <t>BLM21PG300SN1D</t>
  </si>
  <si>
    <t>B3B-PH-K-S</t>
  </si>
  <si>
    <t>SI2369</t>
  </si>
  <si>
    <t>SI2300</t>
  </si>
  <si>
    <t>0R</t>
  </si>
  <si>
    <t>4.7K</t>
  </si>
  <si>
    <t>8.2K</t>
  </si>
  <si>
    <t>10K</t>
  </si>
  <si>
    <t>2.2K</t>
  </si>
  <si>
    <t>100R</t>
  </si>
  <si>
    <t>47K</t>
  </si>
  <si>
    <t>220R</t>
  </si>
  <si>
    <t>22R</t>
  </si>
  <si>
    <t>3.3K</t>
  </si>
  <si>
    <t>18K</t>
  </si>
  <si>
    <t>680K</t>
  </si>
  <si>
    <t>470K</t>
  </si>
  <si>
    <t>LM1117-33</t>
  </si>
  <si>
    <t>MCP73833-AMI_UN</t>
  </si>
  <si>
    <t>ESDA6V1W5</t>
  </si>
  <si>
    <t>74LVC1G125DBVRE4</t>
  </si>
  <si>
    <t>5V</t>
  </si>
  <si>
    <t>Schottky Diode</t>
  </si>
  <si>
    <t>WE-CBF SMT EMI Suppression Ferrite Bead, size 0603, 600Ω, 1A</t>
  </si>
  <si>
    <t>WR-PHD Socket Header, SMT, Vertical, pitch 2mm, 2 Row, 14P</t>
  </si>
  <si>
    <t>Connector</t>
  </si>
  <si>
    <t>WR-CRD SIM Card Connector Hinge Socket, 6 pins</t>
  </si>
  <si>
    <t>WR-SMA Connector, PCB THT Jack, Rear Mount Bulkhead, DC~12.4GHz, 50Ohm</t>
  </si>
  <si>
    <t>WR-COM Mini USB 2.0 Type B SMT Horizontal 5 Contacts</t>
  </si>
  <si>
    <t>3.1A 30V 0.68OHM SOT-23</t>
  </si>
  <si>
    <t>1% 0603</t>
  </si>
  <si>
    <t>Integrated Circuit</t>
  </si>
  <si>
    <t>Quantity</t>
  </si>
  <si>
    <t>Manufacturer_Name</t>
  </si>
  <si>
    <t>Kyocera AVX</t>
  </si>
  <si>
    <t>Vishay</t>
  </si>
  <si>
    <t>Espressif Systems</t>
  </si>
  <si>
    <t>Texas Instruments</t>
  </si>
  <si>
    <t>Microchip</t>
  </si>
  <si>
    <t>SIMCOM</t>
  </si>
  <si>
    <t>STMicroelectronics</t>
  </si>
  <si>
    <t>onsemi</t>
  </si>
  <si>
    <t>Manufacturer_Ref</t>
  </si>
  <si>
    <t>Keolabs_ref</t>
  </si>
  <si>
    <t>150060GS55040</t>
  </si>
  <si>
    <t>Wurth Elektronik</t>
  </si>
  <si>
    <t>Murata</t>
  </si>
  <si>
    <t>ESP32-S3-WROOM-1U-N16R8</t>
  </si>
  <si>
    <t>3.6A 30V 0,68OHM  SOT-23</t>
  </si>
  <si>
    <t>Torex</t>
  </si>
  <si>
    <t>NC7WZ07P6X</t>
  </si>
  <si>
    <t xml:space="preserve">2452796-1 </t>
  </si>
  <si>
    <t>TE-connectivity</t>
  </si>
  <si>
    <t>BF100-14-A-C-0-0625-L-C</t>
  </si>
  <si>
    <t>GCT</t>
  </si>
  <si>
    <t>A7670E-LASE</t>
  </si>
  <si>
    <t>LM1117MP-3.3/NOPB</t>
  </si>
  <si>
    <t>JST</t>
  </si>
  <si>
    <t>MCT06030C4701FP500</t>
  </si>
  <si>
    <t>MCT06030C8201FP500</t>
  </si>
  <si>
    <t>MCT06030C2201FP500</t>
  </si>
  <si>
    <t>MCT06030C4702FP500</t>
  </si>
  <si>
    <t>MCT06030C1002FP500</t>
  </si>
  <si>
    <t>MCT06030C3301FP500</t>
  </si>
  <si>
    <t>MCT06030C1802FP500</t>
  </si>
  <si>
    <t>MCT06030C6803FP500</t>
  </si>
  <si>
    <t>MCT06030C4703FP500</t>
  </si>
  <si>
    <t>MCT06030C1000FP500</t>
  </si>
  <si>
    <t>MCT06030C2200FP500</t>
  </si>
  <si>
    <t>MCT0603HZ0000ZP500</t>
  </si>
  <si>
    <t>MCT06030C2219FP500</t>
  </si>
  <si>
    <t>CC0603KRX5R6BB105</t>
  </si>
  <si>
    <t>YAGEO</t>
  </si>
  <si>
    <t>X5R 10% 10V 0603</t>
  </si>
  <si>
    <t>CC0603KRX7R8BB104</t>
  </si>
  <si>
    <t>X7R 10% 25V 0603</t>
  </si>
  <si>
    <t>CC0603JRNPO0BN330</t>
  </si>
  <si>
    <t>NP0 5% 100V</t>
  </si>
  <si>
    <t>CC0603JRNPO0BN100</t>
  </si>
  <si>
    <t>CC0603KRX7R8BB124</t>
  </si>
  <si>
    <t>X7R 10% 25V</t>
  </si>
  <si>
    <t>CX</t>
  </si>
  <si>
    <t>6800uF</t>
  </si>
  <si>
    <t>UVY0J682MHD</t>
  </si>
  <si>
    <t>100uF</t>
  </si>
  <si>
    <t>Case C 10% 10V</t>
  </si>
  <si>
    <t>NICHICON</t>
  </si>
  <si>
    <t>6.3V 20% 12.5x25mm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</si>
</sst>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i/>
      <sz val="18"/>
      <name val="Arial"/>
      <family val="2"/>
    </font>
    <font>
      <b/>
      <sz val="10"/>
      <color indexed="9"/>
      <name val="Arial"/>
      <family val="2"/>
    </font>
    <font>
      <b/>
      <sz val="18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i/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</fills>
  <borders count="4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" fontId="4" fillId="2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1" fontId="6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left" vertical="center" wrapText="1"/>
    </xf>
    <xf numFmtId="1" fontId="0" fillId="0" borderId="0" xfId="0" applyNumberFormat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9" fontId="0" fillId="0" borderId="0" xfId="1" applyFont="1" applyAlignment="1">
      <alignment horizontal="left" vertical="center" wrapText="1"/>
    </xf>
    <xf numFmtId="9" fontId="4" fillId="2" borderId="2" xfId="1" applyFont="1" applyFill="1" applyBorder="1" applyAlignment="1">
      <alignment horizontal="center" vertical="center" wrapText="1"/>
    </xf>
    <xf numFmtId="9" fontId="6" fillId="0" borderId="0" xfId="1" applyFont="1" applyAlignment="1">
      <alignment horizontal="left" wrapText="1"/>
    </xf>
    <xf numFmtId="0" fontId="8" fillId="0" borderId="1" xfId="0" quotePrefix="1" applyFont="1" applyBorder="1" applyAlignment="1">
      <alignment horizontal="right" vertical="center"/>
    </xf>
    <xf numFmtId="0" fontId="0" fillId="0" borderId="3" xfId="0" quotePrefix="1" applyBorder="1"/>
  </cellXfs>
  <cellStyles count="3">
    <cellStyle name="Normal" xfId="0" builtinId="0"/>
    <cellStyle name="Normal 2" xfId="2" xr:uid="{0117CD36-3CC7-455E-AA49-8419462579D1}"/>
    <cellStyle name="Pourcentage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E6E6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51"/>
  <sheetViews>
    <sheetView tabSelected="1" zoomScale="85" zoomScaleNormal="85" workbookViewId="0">
      <pane xSplit="8" ySplit="4" topLeftCell="I5" activePane="bottomRight" state="frozen"/>
      <selection pane="topRight" activeCell="E1" sqref="E1"/>
      <selection pane="bottomLeft" activeCell="A5" sqref="A5"/>
      <selection pane="bottomRight" activeCell="G23" sqref="G23"/>
    </sheetView>
  </sheetViews>
  <sheetFormatPr baseColWidth="10" defaultColWidth="24" defaultRowHeight="12.45" x14ac:dyDescent="0.3"/>
  <cols>
    <col min="1" max="1" width="25" style="9" customWidth="1"/>
    <col min="2" max="2" width="30.15234375" style="9" bestFit="1" customWidth="1"/>
    <col min="3" max="3" width="48.69140625" style="12" customWidth="1"/>
    <col min="4" max="4" width="7.69140625" style="9" customWidth="1"/>
    <col min="5" max="5" width="18.15234375" style="9" customWidth="1"/>
    <col min="6" max="6" width="26.3828125" style="9" bestFit="1" customWidth="1"/>
    <col min="7" max="7" width="15.15234375" style="9" bestFit="1" customWidth="1"/>
    <col min="8" max="8" width="22.3046875" style="9" bestFit="1" customWidth="1"/>
    <col min="9" max="16384" width="24" style="1"/>
  </cols>
  <sheetData>
    <row r="1" spans="1:8" s="2" customFormat="1" ht="25" customHeight="1" x14ac:dyDescent="0.3">
      <c r="A1" s="9"/>
      <c r="B1" s="9"/>
      <c r="C1" s="12"/>
      <c r="D1" s="9"/>
      <c r="E1" s="9"/>
      <c r="F1" s="9"/>
      <c r="G1" s="9"/>
      <c r="H1" s="9"/>
    </row>
    <row r="2" spans="1:8" s="4" customFormat="1" ht="25" customHeight="1" x14ac:dyDescent="0.3">
      <c r="A2" s="7" t="s">
        <v>5</v>
      </c>
      <c r="B2" s="6" t="s">
        <v>8</v>
      </c>
      <c r="C2" s="11" t="s">
        <v>7</v>
      </c>
      <c r="D2" s="15">
        <f>SUM(D5:D51)</f>
        <v>132</v>
      </c>
      <c r="E2" s="11"/>
      <c r="F2" s="7"/>
      <c r="G2" s="7"/>
      <c r="H2" s="7"/>
    </row>
    <row r="3" spans="1:8" s="4" customFormat="1" ht="25" customHeight="1" x14ac:dyDescent="0.3">
      <c r="A3" s="5" t="s">
        <v>1</v>
      </c>
      <c r="B3" s="5" t="s">
        <v>2</v>
      </c>
      <c r="C3" s="13" t="s">
        <v>6</v>
      </c>
      <c r="D3" s="5" t="s">
        <v>0</v>
      </c>
      <c r="E3" s="5" t="s">
        <v>4</v>
      </c>
      <c r="F3" s="5" t="s">
        <v>3</v>
      </c>
      <c r="G3" s="5" t="s">
        <v>4</v>
      </c>
      <c r="H3" s="5" t="s">
        <v>3</v>
      </c>
    </row>
    <row r="4" spans="1:8" s="3" customFormat="1" ht="2.25" customHeight="1" x14ac:dyDescent="0.3">
      <c r="A4" s="8" t="s">
        <v>1</v>
      </c>
      <c r="B4" s="8" t="s">
        <v>50</v>
      </c>
      <c r="C4" s="14" t="s">
        <v>6</v>
      </c>
      <c r="D4" s="8" t="s">
        <v>93</v>
      </c>
      <c r="E4" s="8" t="s">
        <v>94</v>
      </c>
      <c r="F4" s="8" t="s">
        <v>103</v>
      </c>
      <c r="G4" s="8"/>
      <c r="H4" s="8" t="s">
        <v>104</v>
      </c>
    </row>
    <row r="5" spans="1:8" ht="12.55" customHeight="1" x14ac:dyDescent="0.3">
      <c r="A5" s="10" t="s">
        <v>29</v>
      </c>
      <c r="B5" s="10" t="s">
        <v>56</v>
      </c>
      <c r="D5" s="10">
        <v>15</v>
      </c>
      <c r="E5" s="10"/>
      <c r="G5" s="10"/>
      <c r="H5" s="10"/>
    </row>
    <row r="6" spans="1:8" ht="12.55" customHeight="1" x14ac:dyDescent="0.3">
      <c r="A6" s="9" t="s">
        <v>30</v>
      </c>
      <c r="B6" s="9" t="s">
        <v>65</v>
      </c>
      <c r="C6" s="12" t="s">
        <v>91</v>
      </c>
      <c r="D6" s="9">
        <v>5</v>
      </c>
      <c r="E6" s="10" t="s">
        <v>96</v>
      </c>
      <c r="F6" s="10" t="s">
        <v>130</v>
      </c>
    </row>
    <row r="7" spans="1:8" ht="12.55" customHeight="1" x14ac:dyDescent="0.3">
      <c r="A7" s="10" t="s">
        <v>31</v>
      </c>
      <c r="B7" s="10" t="s">
        <v>66</v>
      </c>
      <c r="C7" s="12" t="s">
        <v>91</v>
      </c>
      <c r="D7" s="10">
        <v>14</v>
      </c>
      <c r="E7" s="10" t="s">
        <v>96</v>
      </c>
      <c r="F7" s="10" t="s">
        <v>119</v>
      </c>
      <c r="G7" s="10"/>
      <c r="H7" s="10"/>
    </row>
    <row r="8" spans="1:8" ht="12.55" customHeight="1" x14ac:dyDescent="0.3">
      <c r="A8" s="9" t="s">
        <v>32</v>
      </c>
      <c r="B8" s="9" t="s">
        <v>67</v>
      </c>
      <c r="C8" s="12" t="s">
        <v>91</v>
      </c>
      <c r="D8" s="9">
        <v>1</v>
      </c>
      <c r="E8" s="10" t="s">
        <v>96</v>
      </c>
      <c r="F8" s="10" t="s">
        <v>120</v>
      </c>
    </row>
    <row r="9" spans="1:8" ht="12.55" customHeight="1" x14ac:dyDescent="0.3">
      <c r="A9" s="10" t="s">
        <v>33</v>
      </c>
      <c r="B9" s="10" t="s">
        <v>68</v>
      </c>
      <c r="C9" s="12" t="s">
        <v>91</v>
      </c>
      <c r="D9" s="10">
        <v>4</v>
      </c>
      <c r="E9" s="10" t="s">
        <v>96</v>
      </c>
      <c r="F9" s="10" t="s">
        <v>123</v>
      </c>
      <c r="G9" s="10"/>
      <c r="H9" s="10"/>
    </row>
    <row r="10" spans="1:8" ht="12.55" customHeight="1" x14ac:dyDescent="0.3">
      <c r="A10" s="9" t="s">
        <v>34</v>
      </c>
      <c r="B10" s="9" t="s">
        <v>69</v>
      </c>
      <c r="C10" s="12" t="s">
        <v>91</v>
      </c>
      <c r="D10" s="9">
        <v>1</v>
      </c>
      <c r="E10" s="10" t="s">
        <v>96</v>
      </c>
      <c r="F10" s="10" t="s">
        <v>121</v>
      </c>
    </row>
    <row r="11" spans="1:8" ht="12.55" customHeight="1" x14ac:dyDescent="0.3">
      <c r="A11" s="10" t="s">
        <v>35</v>
      </c>
      <c r="B11" s="10" t="s">
        <v>70</v>
      </c>
      <c r="C11" s="12" t="s">
        <v>91</v>
      </c>
      <c r="D11" s="10">
        <v>9</v>
      </c>
      <c r="E11" s="10" t="s">
        <v>96</v>
      </c>
      <c r="F11" s="10" t="s">
        <v>128</v>
      </c>
      <c r="G11" s="10"/>
      <c r="H11" s="10"/>
    </row>
    <row r="12" spans="1:8" ht="12.55" customHeight="1" x14ac:dyDescent="0.3">
      <c r="A12" s="9" t="s">
        <v>36</v>
      </c>
      <c r="B12" s="9" t="s">
        <v>71</v>
      </c>
      <c r="C12" s="12" t="s">
        <v>91</v>
      </c>
      <c r="D12" s="9">
        <v>1</v>
      </c>
      <c r="E12" s="10" t="s">
        <v>96</v>
      </c>
      <c r="F12" s="10" t="s">
        <v>122</v>
      </c>
    </row>
    <row r="13" spans="1:8" ht="12.55" customHeight="1" x14ac:dyDescent="0.3">
      <c r="A13" s="10" t="s">
        <v>37</v>
      </c>
      <c r="B13" s="10" t="s">
        <v>72</v>
      </c>
      <c r="C13" s="12" t="s">
        <v>91</v>
      </c>
      <c r="D13" s="10">
        <v>3</v>
      </c>
      <c r="E13" s="10" t="s">
        <v>96</v>
      </c>
      <c r="F13" s="10" t="s">
        <v>129</v>
      </c>
      <c r="G13" s="10"/>
      <c r="H13" s="10"/>
    </row>
    <row r="14" spans="1:8" ht="12.55" customHeight="1" x14ac:dyDescent="0.3">
      <c r="A14" s="9" t="s">
        <v>38</v>
      </c>
      <c r="B14" s="9" t="s">
        <v>73</v>
      </c>
      <c r="C14" s="12" t="s">
        <v>91</v>
      </c>
      <c r="D14" s="9">
        <v>2</v>
      </c>
      <c r="E14" s="10" t="s">
        <v>96</v>
      </c>
      <c r="F14" s="10" t="s">
        <v>131</v>
      </c>
    </row>
    <row r="15" spans="1:8" ht="12.55" customHeight="1" x14ac:dyDescent="0.3">
      <c r="A15" s="10" t="s">
        <v>39</v>
      </c>
      <c r="B15" s="10" t="s">
        <v>74</v>
      </c>
      <c r="C15" s="12" t="s">
        <v>91</v>
      </c>
      <c r="D15" s="10">
        <v>1</v>
      </c>
      <c r="E15" s="10" t="s">
        <v>96</v>
      </c>
      <c r="F15" s="10" t="s">
        <v>124</v>
      </c>
      <c r="G15" s="10"/>
      <c r="H15" s="10"/>
    </row>
    <row r="16" spans="1:8" ht="12.55" customHeight="1" x14ac:dyDescent="0.3">
      <c r="A16" s="9" t="s">
        <v>40</v>
      </c>
      <c r="B16" s="9" t="s">
        <v>75</v>
      </c>
      <c r="C16" s="12" t="s">
        <v>91</v>
      </c>
      <c r="D16" s="9">
        <v>1</v>
      </c>
      <c r="E16" s="10" t="s">
        <v>96</v>
      </c>
      <c r="F16" s="10" t="s">
        <v>125</v>
      </c>
    </row>
    <row r="17" spans="1:8" ht="12.55" customHeight="1" x14ac:dyDescent="0.3">
      <c r="A17" s="10" t="s">
        <v>41</v>
      </c>
      <c r="B17" s="10" t="s">
        <v>76</v>
      </c>
      <c r="C17" s="12" t="s">
        <v>91</v>
      </c>
      <c r="D17" s="10">
        <v>1</v>
      </c>
      <c r="E17" s="10" t="s">
        <v>96</v>
      </c>
      <c r="F17" s="10" t="s">
        <v>126</v>
      </c>
      <c r="G17" s="10"/>
      <c r="H17" s="10"/>
    </row>
    <row r="18" spans="1:8" ht="12.55" customHeight="1" x14ac:dyDescent="0.3">
      <c r="A18" s="9" t="s">
        <v>42</v>
      </c>
      <c r="B18" s="9" t="s">
        <v>77</v>
      </c>
      <c r="C18" s="12" t="s">
        <v>91</v>
      </c>
      <c r="D18" s="9">
        <v>1</v>
      </c>
      <c r="E18" s="10" t="s">
        <v>96</v>
      </c>
      <c r="F18" s="10" t="s">
        <v>127</v>
      </c>
    </row>
    <row r="19" spans="1:8" ht="12.55" customHeight="1" x14ac:dyDescent="0.3">
      <c r="F19" s="10"/>
    </row>
    <row r="20" spans="1:8" ht="12.55" customHeight="1" x14ac:dyDescent="0.3">
      <c r="A20" s="9" t="s">
        <v>14</v>
      </c>
      <c r="B20" s="9" t="s">
        <v>56</v>
      </c>
      <c r="D20" s="9">
        <v>4</v>
      </c>
      <c r="F20" s="10"/>
    </row>
    <row r="21" spans="1:8" s="3" customFormat="1" ht="12.75" customHeight="1" x14ac:dyDescent="0.3">
      <c r="A21" s="10" t="s">
        <v>9</v>
      </c>
      <c r="B21" s="10" t="s">
        <v>145</v>
      </c>
      <c r="C21" s="12" t="s">
        <v>146</v>
      </c>
      <c r="D21" s="10">
        <v>3</v>
      </c>
      <c r="E21" s="10" t="s">
        <v>95</v>
      </c>
      <c r="F21" s="10" t="s">
        <v>51</v>
      </c>
      <c r="G21" s="10"/>
      <c r="H21" s="10"/>
    </row>
    <row r="22" spans="1:8" x14ac:dyDescent="0.3">
      <c r="A22" s="9" t="s">
        <v>10</v>
      </c>
      <c r="B22" s="9" t="s">
        <v>52</v>
      </c>
      <c r="C22" s="12" t="s">
        <v>134</v>
      </c>
      <c r="D22" s="9">
        <v>3</v>
      </c>
      <c r="E22" s="9" t="s">
        <v>133</v>
      </c>
      <c r="F22" s="10" t="s">
        <v>132</v>
      </c>
    </row>
    <row r="23" spans="1:8" ht="12.55" customHeight="1" x14ac:dyDescent="0.3">
      <c r="A23" s="10" t="s">
        <v>11</v>
      </c>
      <c r="B23" s="10" t="s">
        <v>53</v>
      </c>
      <c r="C23" s="12" t="s">
        <v>136</v>
      </c>
      <c r="D23" s="10">
        <v>9</v>
      </c>
      <c r="E23" s="9" t="s">
        <v>133</v>
      </c>
      <c r="F23" s="10" t="s">
        <v>135</v>
      </c>
      <c r="G23" s="10"/>
      <c r="H23" s="10"/>
    </row>
    <row r="24" spans="1:8" ht="12.55" customHeight="1" x14ac:dyDescent="0.3">
      <c r="A24" s="9" t="s">
        <v>12</v>
      </c>
      <c r="B24" s="9" t="s">
        <v>54</v>
      </c>
      <c r="C24" s="12" t="s">
        <v>138</v>
      </c>
      <c r="D24" s="9">
        <v>13</v>
      </c>
      <c r="E24" s="9" t="s">
        <v>133</v>
      </c>
      <c r="F24" s="10" t="s">
        <v>137</v>
      </c>
    </row>
    <row r="25" spans="1:8" ht="12.55" customHeight="1" x14ac:dyDescent="0.3">
      <c r="A25" s="10" t="s">
        <v>13</v>
      </c>
      <c r="B25" s="10" t="s">
        <v>55</v>
      </c>
      <c r="C25" s="12" t="s">
        <v>138</v>
      </c>
      <c r="D25" s="10">
        <v>2</v>
      </c>
      <c r="E25" s="9" t="s">
        <v>133</v>
      </c>
      <c r="F25" s="10" t="s">
        <v>139</v>
      </c>
      <c r="G25" s="10"/>
      <c r="H25" s="10"/>
    </row>
    <row r="26" spans="1:8" ht="12.55" customHeight="1" x14ac:dyDescent="0.3">
      <c r="A26" s="10" t="s">
        <v>15</v>
      </c>
      <c r="B26" s="10" t="s">
        <v>57</v>
      </c>
      <c r="C26" s="12" t="s">
        <v>141</v>
      </c>
      <c r="D26" s="10">
        <v>3</v>
      </c>
      <c r="E26" s="9" t="s">
        <v>133</v>
      </c>
      <c r="F26" s="10" t="s">
        <v>140</v>
      </c>
      <c r="G26" s="10"/>
      <c r="H26" s="10"/>
    </row>
    <row r="27" spans="1:8" ht="12.55" customHeight="1" x14ac:dyDescent="0.3">
      <c r="A27" s="10" t="s">
        <v>142</v>
      </c>
      <c r="B27" s="16" t="s">
        <v>143</v>
      </c>
      <c r="C27" s="16" t="s">
        <v>148</v>
      </c>
      <c r="D27" s="10">
        <v>1</v>
      </c>
      <c r="E27" s="9" t="s">
        <v>147</v>
      </c>
      <c r="F27" s="10" t="s">
        <v>144</v>
      </c>
      <c r="G27" s="10"/>
      <c r="H27" s="10"/>
    </row>
    <row r="28" spans="1:8" ht="12.55" customHeight="1" x14ac:dyDescent="0.3">
      <c r="A28" s="10"/>
      <c r="B28" s="10"/>
      <c r="D28" s="10"/>
      <c r="E28" s="10"/>
      <c r="G28" s="10"/>
      <c r="H28" s="10"/>
    </row>
    <row r="29" spans="1:8" ht="12.55" customHeight="1" x14ac:dyDescent="0.3">
      <c r="A29" s="10" t="s">
        <v>27</v>
      </c>
      <c r="B29" s="10" t="s">
        <v>63</v>
      </c>
      <c r="C29" s="12" t="s">
        <v>90</v>
      </c>
      <c r="D29" s="10">
        <v>1</v>
      </c>
      <c r="E29" s="10" t="s">
        <v>96</v>
      </c>
      <c r="F29" s="10" t="s">
        <v>63</v>
      </c>
      <c r="G29" s="10"/>
      <c r="H29" s="10"/>
    </row>
    <row r="30" spans="1:8" ht="12.55" customHeight="1" x14ac:dyDescent="0.3">
      <c r="A30" s="9" t="s">
        <v>28</v>
      </c>
      <c r="B30" s="9" t="s">
        <v>64</v>
      </c>
      <c r="C30" s="12" t="s">
        <v>109</v>
      </c>
      <c r="D30" s="9">
        <v>7</v>
      </c>
      <c r="E30" s="10" t="s">
        <v>96</v>
      </c>
      <c r="F30" s="9" t="s">
        <v>64</v>
      </c>
    </row>
    <row r="31" spans="1:8" ht="12.55" customHeight="1" x14ac:dyDescent="0.3">
      <c r="A31" s="9" t="s">
        <v>16</v>
      </c>
      <c r="B31" s="9" t="s">
        <v>58</v>
      </c>
      <c r="C31" s="12" t="s">
        <v>82</v>
      </c>
      <c r="D31" s="9">
        <v>5</v>
      </c>
      <c r="E31" s="9" t="s">
        <v>110</v>
      </c>
      <c r="F31" s="9" t="s">
        <v>58</v>
      </c>
    </row>
    <row r="32" spans="1:8" ht="12.55" customHeight="1" x14ac:dyDescent="0.3">
      <c r="A32" s="10" t="s">
        <v>17</v>
      </c>
      <c r="B32" s="10" t="s">
        <v>59</v>
      </c>
      <c r="C32" s="12" t="s">
        <v>83</v>
      </c>
      <c r="D32" s="10">
        <v>1</v>
      </c>
      <c r="E32" s="10" t="s">
        <v>96</v>
      </c>
      <c r="F32" s="10" t="s">
        <v>59</v>
      </c>
      <c r="G32" s="10"/>
      <c r="H32" s="10"/>
    </row>
    <row r="33" spans="1:8" ht="12.55" customHeight="1" x14ac:dyDescent="0.3">
      <c r="A33" s="9" t="s">
        <v>18</v>
      </c>
      <c r="B33" s="9" t="s">
        <v>105</v>
      </c>
      <c r="C33" s="9" t="s">
        <v>60</v>
      </c>
      <c r="D33" s="9">
        <v>2</v>
      </c>
      <c r="E33" s="9" t="s">
        <v>106</v>
      </c>
      <c r="F33" s="9" t="s">
        <v>105</v>
      </c>
    </row>
    <row r="34" spans="1:8" ht="12.55" customHeight="1" x14ac:dyDescent="0.3">
      <c r="C34" s="9"/>
    </row>
    <row r="35" spans="1:8" ht="12.55" customHeight="1" x14ac:dyDescent="0.3">
      <c r="A35" s="10" t="s">
        <v>19</v>
      </c>
      <c r="B35" s="10" t="s">
        <v>61</v>
      </c>
      <c r="C35" s="12" t="s">
        <v>61</v>
      </c>
      <c r="D35" s="10">
        <v>2</v>
      </c>
      <c r="E35" s="10" t="s">
        <v>107</v>
      </c>
      <c r="F35" s="10" t="s">
        <v>61</v>
      </c>
      <c r="G35" s="10"/>
      <c r="H35" s="10"/>
    </row>
    <row r="36" spans="1:8" ht="12.55" customHeight="1" x14ac:dyDescent="0.3">
      <c r="A36" s="9" t="s">
        <v>20</v>
      </c>
      <c r="B36" s="9">
        <v>742792651</v>
      </c>
      <c r="C36" s="12" t="s">
        <v>84</v>
      </c>
      <c r="D36" s="9">
        <v>1</v>
      </c>
      <c r="E36" s="9" t="s">
        <v>106</v>
      </c>
      <c r="F36" s="9">
        <v>742792651</v>
      </c>
    </row>
    <row r="37" spans="1:8" ht="12.55" customHeight="1" x14ac:dyDescent="0.3"/>
    <row r="38" spans="1:8" ht="12.55" customHeight="1" x14ac:dyDescent="0.3">
      <c r="A38" s="10" t="s">
        <v>21</v>
      </c>
      <c r="B38" s="10">
        <v>621014242921</v>
      </c>
      <c r="C38" s="12" t="s">
        <v>85</v>
      </c>
      <c r="D38" s="10">
        <v>1</v>
      </c>
      <c r="E38" s="9" t="s">
        <v>106</v>
      </c>
      <c r="F38" s="10">
        <v>621014242921</v>
      </c>
      <c r="G38" s="9" t="s">
        <v>115</v>
      </c>
      <c r="H38" s="9" t="s">
        <v>114</v>
      </c>
    </row>
    <row r="39" spans="1:8" ht="12.55" customHeight="1" x14ac:dyDescent="0.3">
      <c r="A39" s="9" t="s">
        <v>22</v>
      </c>
      <c r="B39" s="9" t="s">
        <v>62</v>
      </c>
      <c r="C39" s="12" t="s">
        <v>86</v>
      </c>
      <c r="D39" s="9">
        <v>1</v>
      </c>
      <c r="E39" s="9" t="s">
        <v>118</v>
      </c>
      <c r="F39" s="9" t="s">
        <v>62</v>
      </c>
    </row>
    <row r="40" spans="1:8" ht="12.55" customHeight="1" x14ac:dyDescent="0.3">
      <c r="A40" s="10" t="s">
        <v>23</v>
      </c>
      <c r="B40" s="10">
        <v>693042010611</v>
      </c>
      <c r="C40" s="12" t="s">
        <v>87</v>
      </c>
      <c r="D40" s="10">
        <v>1</v>
      </c>
      <c r="E40" s="9" t="s">
        <v>106</v>
      </c>
      <c r="F40" s="10">
        <v>693042010611</v>
      </c>
      <c r="G40" s="10" t="s">
        <v>113</v>
      </c>
      <c r="H40" s="9" t="s">
        <v>112</v>
      </c>
    </row>
    <row r="41" spans="1:8" ht="12.55" customHeight="1" x14ac:dyDescent="0.3">
      <c r="A41" s="9" t="s">
        <v>24</v>
      </c>
      <c r="B41" s="9">
        <v>60311042114502</v>
      </c>
      <c r="C41" s="12" t="s">
        <v>88</v>
      </c>
      <c r="D41" s="9">
        <v>1</v>
      </c>
      <c r="E41" s="9" t="s">
        <v>106</v>
      </c>
      <c r="F41" s="9">
        <v>60311042114502</v>
      </c>
    </row>
    <row r="42" spans="1:8" ht="12.55" customHeight="1" x14ac:dyDescent="0.3">
      <c r="A42" s="10" t="s">
        <v>25</v>
      </c>
      <c r="B42" s="10">
        <v>65100516121</v>
      </c>
      <c r="C42" s="12" t="s">
        <v>89</v>
      </c>
      <c r="D42" s="10">
        <v>1</v>
      </c>
      <c r="E42" s="9" t="s">
        <v>106</v>
      </c>
      <c r="F42" s="10">
        <v>65100516121</v>
      </c>
      <c r="G42" s="10"/>
      <c r="H42" s="10"/>
    </row>
    <row r="43" spans="1:8" ht="12.55" customHeight="1" x14ac:dyDescent="0.3">
      <c r="A43" s="9" t="s">
        <v>26</v>
      </c>
      <c r="B43" s="9" t="s">
        <v>56</v>
      </c>
      <c r="D43" s="9">
        <v>2</v>
      </c>
      <c r="E43" s="9" t="s">
        <v>106</v>
      </c>
      <c r="F43" s="9">
        <v>61300311121</v>
      </c>
    </row>
    <row r="44" spans="1:8" ht="12.55" customHeight="1" x14ac:dyDescent="0.3">
      <c r="E44" s="10"/>
    </row>
    <row r="45" spans="1:8" ht="12.55" customHeight="1" x14ac:dyDescent="0.3">
      <c r="A45" s="10" t="s">
        <v>43</v>
      </c>
      <c r="B45" s="10" t="s">
        <v>108</v>
      </c>
      <c r="C45" s="12" t="s">
        <v>92</v>
      </c>
      <c r="D45" s="10">
        <v>1</v>
      </c>
      <c r="E45" s="10" t="s">
        <v>97</v>
      </c>
      <c r="F45" s="10" t="s">
        <v>108</v>
      </c>
      <c r="G45" s="10"/>
      <c r="H45" s="10"/>
    </row>
    <row r="46" spans="1:8" ht="12.55" customHeight="1" x14ac:dyDescent="0.3">
      <c r="A46" s="9" t="s">
        <v>44</v>
      </c>
      <c r="B46" s="9" t="s">
        <v>78</v>
      </c>
      <c r="C46" s="12" t="s">
        <v>92</v>
      </c>
      <c r="D46" s="9">
        <v>1</v>
      </c>
      <c r="E46" s="9" t="s">
        <v>98</v>
      </c>
      <c r="F46" s="9" t="s">
        <v>78</v>
      </c>
      <c r="G46" s="9" t="s">
        <v>98</v>
      </c>
      <c r="H46" s="9" t="s">
        <v>117</v>
      </c>
    </row>
    <row r="47" spans="1:8" ht="12.55" customHeight="1" x14ac:dyDescent="0.3">
      <c r="A47" s="10" t="s">
        <v>45</v>
      </c>
      <c r="B47" s="10" t="s">
        <v>79</v>
      </c>
      <c r="C47" s="12" t="s">
        <v>92</v>
      </c>
      <c r="D47" s="10">
        <v>1</v>
      </c>
      <c r="E47" s="10" t="s">
        <v>99</v>
      </c>
      <c r="F47" s="10" t="s">
        <v>79</v>
      </c>
      <c r="G47" s="10"/>
      <c r="H47" s="10"/>
    </row>
    <row r="48" spans="1:8" ht="12.55" customHeight="1" x14ac:dyDescent="0.3">
      <c r="A48" s="9" t="s">
        <v>46</v>
      </c>
      <c r="B48" s="9" t="s">
        <v>116</v>
      </c>
      <c r="C48" s="12" t="s">
        <v>92</v>
      </c>
      <c r="D48" s="9">
        <v>1</v>
      </c>
      <c r="E48" s="9" t="s">
        <v>100</v>
      </c>
      <c r="F48" s="9" t="s">
        <v>116</v>
      </c>
    </row>
    <row r="49" spans="1:8" ht="12.55" customHeight="1" x14ac:dyDescent="0.3">
      <c r="A49" s="10" t="s">
        <v>47</v>
      </c>
      <c r="B49" s="10" t="s">
        <v>80</v>
      </c>
      <c r="C49" s="12" t="s">
        <v>92</v>
      </c>
      <c r="D49" s="10">
        <v>1</v>
      </c>
      <c r="E49" s="10" t="s">
        <v>101</v>
      </c>
      <c r="F49" s="10" t="s">
        <v>80</v>
      </c>
      <c r="G49" s="10"/>
      <c r="H49" s="10"/>
    </row>
    <row r="50" spans="1:8" ht="12.55" customHeight="1" x14ac:dyDescent="0.3">
      <c r="A50" s="9" t="s">
        <v>48</v>
      </c>
      <c r="B50" s="9" t="s">
        <v>81</v>
      </c>
      <c r="C50" s="12" t="s">
        <v>92</v>
      </c>
      <c r="D50" s="9">
        <v>1</v>
      </c>
      <c r="E50" s="9" t="s">
        <v>98</v>
      </c>
      <c r="F50" s="9" t="s">
        <v>81</v>
      </c>
    </row>
    <row r="51" spans="1:8" ht="12.55" customHeight="1" x14ac:dyDescent="0.3">
      <c r="A51" s="10" t="s">
        <v>49</v>
      </c>
      <c r="B51" s="10" t="s">
        <v>111</v>
      </c>
      <c r="C51" s="12" t="s">
        <v>92</v>
      </c>
      <c r="D51" s="10">
        <v>3</v>
      </c>
      <c r="E51" s="10" t="s">
        <v>102</v>
      </c>
      <c r="F51" s="10" t="s">
        <v>111</v>
      </c>
      <c r="G51" s="10"/>
      <c r="H51" s="10"/>
    </row>
  </sheetData>
  <sheetProtection selectLockedCells="1" selectUnlockedCells="1"/>
  <pageMargins left="0.78749999999999998" right="0.78749999999999998" top="0.94513888888888886" bottom="0.94513888888888886" header="0.78749999999999998" footer="0.78749999999999998"/>
  <pageSetup paperSize="9" scale="87" firstPageNumber="0" fitToHeight="2" orientation="landscape" horizontalDpi="300" verticalDpi="300" r:id="rId1"/>
  <headerFooter alignWithMargins="0">
    <oddHeader>&amp;L&amp;"Times New Roman,Normal"&amp;12KEOLABS&amp;C&amp;"Times New Roman,Normal"&amp;12Bill Of Material&amp;R&amp;"Times New Roman,Normal"&amp;12Product</oddHeader>
    <oddFooter>&amp;L&amp;"Times New Roman,Normal"&amp;12&amp;F/&amp;A&amp;C&amp;"Times New Roman,Normal"&amp;12&amp;P/&amp;N&amp;R&amp;"Times New Roman,Normal"&amp;12Printed :&amp;D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BOM</vt:lpstr>
      <vt:lpstr>Excel_BuiltIn_Print_Area_1</vt:lpstr>
      <vt:lpstr>Excel_BuiltIn_Print_Area_1_1</vt:lpstr>
      <vt:lpstr>BOM!Zone_d_impression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Romain SAINT-PAUL</dc:creator>
  <cp:lastModifiedBy>Romain SAINT-PAUL</cp:lastModifiedBy>
  <cp:lastPrinted>2017-08-30T14:41:51Z</cp:lastPrinted>
  <dcterms:created xsi:type="dcterms:W3CDTF">2015-02-18T10:42:16Z</dcterms:created>
  <dcterms:modified xsi:type="dcterms:W3CDTF">2026-10-27T15:28:11Z</dcterms:modified>
</cp:coreProperties>
</file>